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15135" windowHeight="68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F68" i="1"/>
  <c r="E68"/>
  <c r="D68"/>
  <c r="C68"/>
  <c r="C69" s="1"/>
  <c r="F69"/>
  <c r="E69"/>
  <c r="D69"/>
  <c r="F67"/>
  <c r="E67"/>
  <c r="D67"/>
  <c r="C67"/>
  <c r="E66"/>
  <c r="D53"/>
  <c r="D52"/>
  <c r="D51"/>
  <c r="E27"/>
  <c r="E26"/>
  <c r="E24"/>
  <c r="E25"/>
  <c r="G25" s="1"/>
  <c r="E49"/>
  <c r="E58" s="1"/>
  <c r="E50" s="1"/>
  <c r="D18"/>
  <c r="G18"/>
  <c r="D14"/>
  <c r="G14"/>
  <c r="D39"/>
  <c r="G39" s="1"/>
  <c r="D41"/>
  <c r="G41" s="1"/>
  <c r="D38"/>
  <c r="G38" s="1"/>
  <c r="G40"/>
  <c r="G35"/>
  <c r="G33"/>
  <c r="G34"/>
  <c r="G32"/>
  <c r="D37"/>
  <c r="G37" s="1"/>
  <c r="D36"/>
  <c r="G36" s="1"/>
  <c r="G31"/>
  <c r="G30"/>
  <c r="G29"/>
  <c r="G28"/>
  <c r="G26"/>
  <c r="G24"/>
  <c r="G27"/>
  <c r="D44"/>
  <c r="D45" s="1"/>
  <c r="G20"/>
  <c r="G19"/>
  <c r="G17"/>
  <c r="G16"/>
  <c r="G15"/>
  <c r="G21"/>
  <c r="D46" l="1"/>
  <c r="D58" s="1"/>
  <c r="G42"/>
  <c r="E53" l="1"/>
  <c r="D63"/>
  <c r="D62"/>
  <c r="D64"/>
  <c r="G64"/>
  <c r="G62"/>
  <c r="G63"/>
  <c r="E51"/>
  <c r="G53"/>
  <c r="E52"/>
  <c r="G52" s="1"/>
  <c r="G58"/>
  <c r="D50"/>
  <c r="G50" s="1"/>
  <c r="D49"/>
  <c r="G61" l="1"/>
  <c r="G51"/>
  <c r="G54" s="1"/>
  <c r="G60"/>
  <c r="G56"/>
  <c r="G55"/>
  <c r="G49"/>
  <c r="G59" l="1"/>
  <c r="K59" s="1"/>
  <c r="K61"/>
  <c r="I61" s="1"/>
  <c r="K60"/>
  <c r="I60" s="1"/>
  <c r="I59" l="1"/>
</calcChain>
</file>

<file path=xl/sharedStrings.xml><?xml version="1.0" encoding="utf-8"?>
<sst xmlns="http://schemas.openxmlformats.org/spreadsheetml/2006/main" count="104" uniqueCount="74">
  <si>
    <t>Type Setting</t>
  </si>
  <si>
    <t>Proof Reading</t>
  </si>
  <si>
    <t>Text Art Work</t>
  </si>
  <si>
    <t>Cover Designing</t>
  </si>
  <si>
    <t>Text Processing</t>
  </si>
  <si>
    <t>Cover Processing</t>
  </si>
  <si>
    <t>Other Cost</t>
  </si>
  <si>
    <t>Text Plates</t>
  </si>
  <si>
    <t>Cover Plates</t>
  </si>
  <si>
    <t>Text Printing</t>
  </si>
  <si>
    <t>Cover Printing</t>
  </si>
  <si>
    <t>Text Paper</t>
  </si>
  <si>
    <t>Cover Paper</t>
  </si>
  <si>
    <t>1 Color</t>
  </si>
  <si>
    <t>2 Color</t>
  </si>
  <si>
    <t>4 Color</t>
  </si>
  <si>
    <t>Plate</t>
  </si>
  <si>
    <t>Kg</t>
  </si>
  <si>
    <t>Page</t>
  </si>
  <si>
    <t>Design</t>
  </si>
  <si>
    <t>Cover</t>
  </si>
  <si>
    <t>Book</t>
  </si>
  <si>
    <t>Total Copies</t>
  </si>
  <si>
    <t>Book Price</t>
  </si>
  <si>
    <t>Lamination/UV/Diecutting</t>
  </si>
  <si>
    <t>No.Of Pages</t>
  </si>
  <si>
    <t>Binding Type</t>
  </si>
  <si>
    <t>Size</t>
  </si>
  <si>
    <t>Printing Forms</t>
  </si>
  <si>
    <t>Binding Forms</t>
  </si>
  <si>
    <t>Book Name</t>
  </si>
  <si>
    <t>Qty</t>
  </si>
  <si>
    <t>Wastage</t>
  </si>
  <si>
    <t>Discount</t>
  </si>
  <si>
    <t>Complementry Copies</t>
  </si>
  <si>
    <t>Binding-Folding,Gathering</t>
  </si>
  <si>
    <t>-Cover Drawn</t>
  </si>
  <si>
    <t>-Centre Pin</t>
  </si>
  <si>
    <t>-Packing &amp; Cartage</t>
  </si>
  <si>
    <t>-Per Book</t>
  </si>
  <si>
    <t>Copy</t>
  </si>
  <si>
    <t>Cost Sheet</t>
  </si>
  <si>
    <t>Book Details</t>
  </si>
  <si>
    <t>Cost A (Fixed Cost)</t>
  </si>
  <si>
    <t>Item</t>
  </si>
  <si>
    <t>Quantity</t>
  </si>
  <si>
    <t>Rate</t>
  </si>
  <si>
    <t>Per</t>
  </si>
  <si>
    <t>Amount</t>
  </si>
  <si>
    <t>Cost B (Variable Cost)</t>
  </si>
  <si>
    <t>NRV (Net Revenue Value)</t>
  </si>
  <si>
    <t>Net Profit-First Print</t>
  </si>
  <si>
    <t>Net Profit-Reprint</t>
  </si>
  <si>
    <t>Unit Cost-First Print</t>
  </si>
  <si>
    <t>Unit Cost-Reprint</t>
  </si>
  <si>
    <t>Total Cost B</t>
  </si>
  <si>
    <t>Total Cost A</t>
  </si>
  <si>
    <t>Lamination Type</t>
  </si>
  <si>
    <t>Profit Margin %</t>
  </si>
  <si>
    <t>Net Profit-Average</t>
  </si>
  <si>
    <t>Unit Cost-Average</t>
  </si>
  <si>
    <t>Office Expenses-First Print</t>
  </si>
  <si>
    <t>Office Expenses-Reprint</t>
  </si>
  <si>
    <t>Office Expenses-Average</t>
  </si>
  <si>
    <t>Total Production Cost-First Print</t>
  </si>
  <si>
    <t>Total Production Cost-Reprint</t>
  </si>
  <si>
    <t>Total Production Cost-Average</t>
  </si>
  <si>
    <t xml:space="preserve">Royalty </t>
  </si>
  <si>
    <t>Saleable Copies</t>
  </si>
  <si>
    <t>Printed Copies</t>
  </si>
  <si>
    <t>Theshold Quantity</t>
  </si>
  <si>
    <t>Sale above Threshold Quantity</t>
  </si>
  <si>
    <t>Sale above Threshold Quantity (%)</t>
  </si>
  <si>
    <t>Profit Margin (in Rs.)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</si>
</sst>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%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4">
    <xf numFmtId="0" fontId="0" fillId="0" borderId="0" xfId="0"/>
    <xf numFmtId="0" fontId="2" fillId="0" borderId="0" xfId="0" applyFont="1" applyFill="1" applyProtection="1"/>
    <xf numFmtId="0" fontId="4" fillId="0" borderId="0" xfId="0" applyFont="1" applyFill="1" applyProtection="1">
      <protection locked="0"/>
    </xf>
    <xf numFmtId="0" fontId="4" fillId="0" borderId="1" xfId="0" applyFont="1" applyFill="1" applyBorder="1" applyAlignment="1" applyProtection="1">
      <alignment horizontal="left"/>
    </xf>
    <xf numFmtId="0" fontId="4" fillId="0" borderId="0" xfId="0" applyFont="1" applyFill="1" applyBorder="1" applyAlignment="1" applyProtection="1">
      <alignment horizontal="left"/>
    </xf>
    <xf numFmtId="0" fontId="5" fillId="0" borderId="1" xfId="0" applyFont="1" applyFill="1" applyBorder="1" applyAlignment="1" applyProtection="1">
      <alignment horizontal="right"/>
    </xf>
    <xf numFmtId="2" fontId="5" fillId="0" borderId="1" xfId="0" applyNumberFormat="1" applyFont="1" applyFill="1" applyBorder="1" applyAlignment="1" applyProtection="1">
      <alignment horizontal="right"/>
    </xf>
    <xf numFmtId="0" fontId="5" fillId="0" borderId="1" xfId="0" applyFont="1" applyFill="1" applyBorder="1" applyProtection="1"/>
    <xf numFmtId="0" fontId="2" fillId="0" borderId="1" xfId="0" applyFont="1" applyFill="1" applyBorder="1" applyProtection="1"/>
    <xf numFmtId="2" fontId="2" fillId="0" borderId="1" xfId="0" applyNumberFormat="1" applyFont="1" applyFill="1" applyBorder="1" applyAlignment="1" applyProtection="1">
      <alignment horizontal="right"/>
    </xf>
    <xf numFmtId="0" fontId="2" fillId="0" borderId="1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2" fontId="5" fillId="0" borderId="0" xfId="0" applyNumberFormat="1" applyFont="1" applyFill="1" applyBorder="1" applyAlignment="1" applyProtection="1">
      <alignment horizontal="right"/>
    </xf>
    <xf numFmtId="0" fontId="2" fillId="0" borderId="1" xfId="0" applyFont="1" applyFill="1" applyBorder="1" applyAlignment="1" applyProtection="1">
      <alignment horizontal="left"/>
    </xf>
    <xf numFmtId="0" fontId="2" fillId="0" borderId="1" xfId="0" applyFont="1" applyFill="1" applyBorder="1" applyAlignment="1" applyProtection="1"/>
    <xf numFmtId="164" fontId="2" fillId="0" borderId="4" xfId="0" applyNumberFormat="1" applyFont="1" applyFill="1" applyBorder="1" applyAlignment="1" applyProtection="1"/>
    <xf numFmtId="164" fontId="2" fillId="0" borderId="1" xfId="0" applyNumberFormat="1" applyFont="1" applyFill="1" applyBorder="1" applyProtection="1"/>
    <xf numFmtId="2" fontId="4" fillId="0" borderId="0" xfId="0" applyNumberFormat="1" applyFont="1" applyFill="1" applyProtection="1">
      <protection locked="0"/>
    </xf>
    <xf numFmtId="1" fontId="2" fillId="0" borderId="1" xfId="0" applyNumberFormat="1" applyFont="1" applyFill="1" applyBorder="1" applyProtection="1"/>
    <xf numFmtId="2" fontId="2" fillId="0" borderId="1" xfId="0" applyNumberFormat="1" applyFont="1" applyFill="1" applyBorder="1" applyProtection="1"/>
    <xf numFmtId="2" fontId="4" fillId="0" borderId="1" xfId="0" applyNumberFormat="1" applyFont="1" applyFill="1" applyBorder="1" applyProtection="1"/>
    <xf numFmtId="1" fontId="4" fillId="0" borderId="0" xfId="0" applyNumberFormat="1" applyFont="1" applyFill="1" applyProtection="1">
      <protection locked="0"/>
    </xf>
    <xf numFmtId="0" fontId="2" fillId="0" borderId="0" xfId="0" applyFont="1" applyFill="1" applyBorder="1" applyProtection="1"/>
    <xf numFmtId="0" fontId="5" fillId="0" borderId="0" xfId="0" applyFont="1" applyFill="1" applyBorder="1" applyAlignment="1" applyProtection="1">
      <alignment horizontal="right"/>
    </xf>
    <xf numFmtId="1" fontId="2" fillId="0" borderId="1" xfId="1" applyNumberFormat="1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9" fontId="2" fillId="0" borderId="0" xfId="1" applyFont="1" applyFill="1" applyBorder="1" applyProtection="1"/>
    <xf numFmtId="2" fontId="4" fillId="0" borderId="0" xfId="0" applyNumberFormat="1" applyFont="1" applyFill="1" applyBorder="1" applyProtection="1"/>
    <xf numFmtId="2" fontId="2" fillId="0" borderId="0" xfId="0" applyNumberFormat="1" applyFont="1" applyFill="1" applyBorder="1" applyProtection="1"/>
    <xf numFmtId="1" fontId="5" fillId="0" borderId="1" xfId="0" applyNumberFormat="1" applyFont="1" applyFill="1" applyBorder="1" applyAlignment="1" applyProtection="1"/>
    <xf numFmtId="2" fontId="5" fillId="0" borderId="1" xfId="0" applyNumberFormat="1" applyFont="1" applyFill="1" applyBorder="1" applyAlignment="1" applyProtection="1"/>
    <xf numFmtId="0" fontId="5" fillId="0" borderId="1" xfId="0" applyFont="1" applyFill="1" applyBorder="1" applyAlignment="1" applyProtection="1"/>
    <xf numFmtId="0" fontId="2" fillId="0" borderId="5" xfId="0" applyFont="1" applyFill="1" applyBorder="1" applyProtection="1"/>
    <xf numFmtId="2" fontId="5" fillId="0" borderId="1" xfId="0" applyNumberFormat="1" applyFont="1" applyFill="1" applyBorder="1" applyProtection="1"/>
    <xf numFmtId="0" fontId="4" fillId="0" borderId="0" xfId="0" applyFont="1" applyFill="1" applyAlignment="1" applyProtection="1">
      <alignment horizontal="left"/>
      <protection locked="0"/>
    </xf>
    <xf numFmtId="2" fontId="4" fillId="0" borderId="0" xfId="0" applyNumberFormat="1" applyFont="1" applyFill="1" applyAlignment="1" applyProtection="1">
      <alignment horizontal="right"/>
      <protection locked="0"/>
    </xf>
    <xf numFmtId="0" fontId="4" fillId="0" borderId="1" xfId="0" applyFont="1" applyFill="1" applyBorder="1" applyAlignment="1" applyProtection="1">
      <alignment horizontal="left"/>
    </xf>
    <xf numFmtId="2" fontId="2" fillId="2" borderId="1" xfId="0" applyNumberFormat="1" applyFont="1" applyFill="1" applyBorder="1" applyProtection="1">
      <protection locked="0"/>
    </xf>
    <xf numFmtId="0" fontId="2" fillId="2" borderId="1" xfId="0" applyFont="1" applyFill="1" applyBorder="1" applyProtection="1">
      <protection locked="0"/>
    </xf>
    <xf numFmtId="10" fontId="2" fillId="2" borderId="1" xfId="1" applyNumberFormat="1" applyFont="1" applyFill="1" applyBorder="1" applyProtection="1">
      <protection locked="0"/>
    </xf>
    <xf numFmtId="10" fontId="2" fillId="2" borderId="1" xfId="1" applyNumberFormat="1" applyFont="1" applyFill="1" applyBorder="1" applyAlignment="1" applyProtection="1">
      <alignment horizontal="right"/>
      <protection locked="0"/>
    </xf>
    <xf numFmtId="0" fontId="2" fillId="0" borderId="2" xfId="0" applyFont="1" applyFill="1" applyBorder="1" applyProtection="1"/>
    <xf numFmtId="9" fontId="5" fillId="0" borderId="1" xfId="1" applyFont="1" applyFill="1" applyBorder="1" applyProtection="1"/>
    <xf numFmtId="10" fontId="4" fillId="0" borderId="0" xfId="0" applyNumberFormat="1" applyFont="1" applyFill="1" applyProtection="1">
      <protection locked="0"/>
    </xf>
    <xf numFmtId="165" fontId="4" fillId="0" borderId="0" xfId="0" applyNumberFormat="1" applyFont="1" applyFill="1" applyProtection="1">
      <protection locked="0"/>
    </xf>
    <xf numFmtId="10" fontId="4" fillId="0" borderId="1" xfId="0" applyNumberFormat="1" applyFont="1" applyFill="1" applyBorder="1" applyAlignment="1" applyProtection="1">
      <alignment horizontal="right"/>
    </xf>
    <xf numFmtId="0" fontId="4" fillId="0" borderId="1" xfId="0" applyFont="1" applyFill="1" applyBorder="1" applyAlignment="1" applyProtection="1">
      <alignment horizontal="right"/>
    </xf>
    <xf numFmtId="2" fontId="4" fillId="0" borderId="1" xfId="0" applyNumberFormat="1" applyFont="1" applyFill="1" applyBorder="1" applyAlignment="1" applyProtection="1">
      <alignment horizontal="right" vertical="center"/>
    </xf>
    <xf numFmtId="0" fontId="5" fillId="0" borderId="1" xfId="0" applyFont="1" applyFill="1" applyBorder="1" applyAlignment="1" applyProtection="1">
      <alignment horizontal="left" vertical="center"/>
    </xf>
    <xf numFmtId="0" fontId="0" fillId="0" borderId="1" xfId="0" applyBorder="1" applyAlignment="1" applyProtection="1">
      <alignment vertical="center"/>
    </xf>
    <xf numFmtId="0" fontId="8" fillId="0" borderId="1" xfId="0" applyFont="1" applyBorder="1" applyAlignment="1" applyProtection="1">
      <alignment vertical="center"/>
    </xf>
    <xf numFmtId="0" fontId="3" fillId="0" borderId="1" xfId="0" applyFont="1" applyFill="1" applyBorder="1" applyAlignment="1" applyProtection="1">
      <alignment horizontal="left"/>
    </xf>
    <xf numFmtId="10" fontId="4" fillId="2" borderId="2" xfId="0" applyNumberFormat="1" applyFont="1" applyFill="1" applyBorder="1" applyAlignment="1" applyProtection="1">
      <alignment horizontal="center"/>
      <protection locked="0"/>
    </xf>
    <xf numFmtId="10" fontId="4" fillId="2" borderId="4" xfId="0" applyNumberFormat="1" applyFont="1" applyFill="1" applyBorder="1" applyAlignment="1" applyProtection="1">
      <alignment horizontal="center"/>
      <protection locked="0"/>
    </xf>
    <xf numFmtId="1" fontId="4" fillId="0" borderId="2" xfId="0" applyNumberFormat="1" applyFont="1" applyFill="1" applyBorder="1" applyAlignment="1" applyProtection="1">
      <alignment horizontal="center"/>
    </xf>
    <xf numFmtId="1" fontId="4" fillId="0" borderId="4" xfId="0" applyNumberFormat="1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3" fillId="0" borderId="0" xfId="0" applyFont="1" applyFill="1" applyAlignment="1" applyProtection="1">
      <alignment horizontal="left"/>
      <protection locked="0"/>
    </xf>
    <xf numFmtId="0" fontId="5" fillId="0" borderId="2" xfId="0" applyFont="1" applyFill="1" applyBorder="1" applyAlignment="1" applyProtection="1">
      <alignment horizontal="left"/>
    </xf>
    <xf numFmtId="0" fontId="5" fillId="0" borderId="3" xfId="0" applyFont="1" applyFill="1" applyBorder="1" applyAlignment="1" applyProtection="1">
      <alignment horizontal="left"/>
    </xf>
    <xf numFmtId="0" fontId="5" fillId="0" borderId="4" xfId="0" applyFont="1" applyFill="1" applyBorder="1" applyAlignment="1" applyProtection="1">
      <alignment horizontal="left"/>
    </xf>
    <xf numFmtId="0" fontId="5" fillId="0" borderId="1" xfId="0" applyFont="1" applyFill="1" applyBorder="1" applyAlignment="1" applyProtection="1">
      <alignment horizontal="left"/>
    </xf>
    <xf numFmtId="0" fontId="2" fillId="0" borderId="2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left"/>
    </xf>
    <xf numFmtId="0" fontId="3" fillId="0" borderId="1" xfId="0" applyFont="1" applyFill="1" applyBorder="1" applyAlignment="1" applyProtection="1">
      <alignment horizontal="center"/>
    </xf>
    <xf numFmtId="0" fontId="4" fillId="0" borderId="1" xfId="0" applyFont="1" applyFill="1" applyBorder="1" applyAlignment="1" applyProtection="1">
      <alignment horizontal="left"/>
    </xf>
    <xf numFmtId="1" fontId="2" fillId="0" borderId="2" xfId="0" applyNumberFormat="1" applyFont="1" applyFill="1" applyBorder="1" applyAlignment="1" applyProtection="1">
      <alignment horizontal="right"/>
    </xf>
    <xf numFmtId="1" fontId="2" fillId="0" borderId="3" xfId="0" applyNumberFormat="1" applyFont="1" applyFill="1" applyBorder="1" applyAlignment="1" applyProtection="1">
      <alignment horizontal="right"/>
    </xf>
    <xf numFmtId="1" fontId="2" fillId="0" borderId="4" xfId="0" applyNumberFormat="1" applyFont="1" applyFill="1" applyBorder="1" applyAlignment="1" applyProtection="1">
      <alignment horizontal="right"/>
    </xf>
    <xf numFmtId="0" fontId="5" fillId="0" borderId="1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left"/>
    </xf>
    <xf numFmtId="2" fontId="4" fillId="0" borderId="1" xfId="0" applyNumberFormat="1" applyFont="1" applyFill="1" applyBorder="1" applyAlignment="1" applyProtection="1">
      <alignment horizontal="left"/>
    </xf>
    <xf numFmtId="1" fontId="4" fillId="0" borderId="1" xfId="0" applyNumberFormat="1" applyFont="1" applyFill="1" applyBorder="1" applyAlignment="1" applyProtection="1">
      <alignment horizontal="left"/>
    </xf>
    <xf numFmtId="0" fontId="2" fillId="0" borderId="1" xfId="0" applyFont="1" applyFill="1" applyBorder="1" applyAlignment="1" applyProtection="1">
      <alignment horizontal="left"/>
    </xf>
    <xf numFmtId="0" fontId="2" fillId="0" borderId="2" xfId="0" quotePrefix="1" applyFont="1" applyFill="1" applyBorder="1" applyAlignment="1" applyProtection="1"/>
    <xf numFmtId="0" fontId="2" fillId="0" borderId="3" xfId="0" applyFont="1" applyFill="1" applyBorder="1" applyAlignment="1" applyProtection="1"/>
    <xf numFmtId="0" fontId="2" fillId="0" borderId="4" xfId="0" applyFont="1" applyFill="1" applyBorder="1" applyAlignment="1" applyProtection="1"/>
    <xf numFmtId="0" fontId="0" fillId="0" borderId="1" xfId="0" applyBorder="1"/>
    <xf numFmtId="0" fontId="2" fillId="0" borderId="2" xfId="0" quotePrefix="1" applyFont="1" applyFill="1" applyBorder="1" applyAlignment="1" applyProtection="1">
      <alignment horizontal="left"/>
    </xf>
    <xf numFmtId="0" fontId="2" fillId="0" borderId="1" xfId="0" applyFont="1" applyFill="1" applyBorder="1" applyAlignment="1" applyProtection="1">
      <alignment horizontal="right"/>
    </xf>
    <xf numFmtId="2" fontId="5" fillId="2" borderId="1" xfId="0" applyNumberFormat="1" applyFont="1" applyFill="1" applyBorder="1" applyAlignment="1" applyProtection="1">
      <alignment horizontal="right"/>
      <protection locked="0"/>
    </xf>
    <xf numFmtId="1" fontId="2" fillId="0" borderId="2" xfId="0" applyNumberFormat="1" applyFont="1" applyFill="1" applyBorder="1" applyAlignment="1" applyProtection="1">
      <alignment horizontal="center"/>
    </xf>
    <xf numFmtId="1" fontId="2" fillId="0" borderId="3" xfId="0" applyNumberFormat="1" applyFont="1" applyFill="1" applyBorder="1" applyAlignment="1" applyProtection="1">
      <alignment horizontal="center"/>
    </xf>
    <xf numFmtId="1" fontId="2" fillId="0" borderId="4" xfId="0" applyNumberFormat="1" applyFont="1" applyFill="1" applyBorder="1" applyAlignment="1" applyProtection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0C0C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L69"/>
  <sheetViews>
    <sheetView tabSelected="1" workbookViewId="0">
      <selection sqref="A1:G1"/>
    </sheetView>
  </sheetViews>
  <sheetFormatPr defaultRowHeight="12.75"/>
  <cols>
    <col min="1" max="1" width="15.7109375" style="34" customWidth="1"/>
    <col min="2" max="3" width="12.7109375" style="34" customWidth="1"/>
    <col min="4" max="4" width="12.7109375" style="2" customWidth="1"/>
    <col min="5" max="5" width="12.7109375" style="17" customWidth="1"/>
    <col min="6" max="6" width="12.7109375" style="2" customWidth="1"/>
    <col min="7" max="7" width="15.7109375" style="35" customWidth="1"/>
    <col min="8" max="8" width="9.140625" style="2" hidden="1" customWidth="1"/>
    <col min="9" max="9" width="7" style="2" bestFit="1" customWidth="1"/>
    <col min="10" max="10" width="9" style="2" customWidth="1"/>
    <col min="11" max="11" width="9.5703125" style="17" hidden="1" customWidth="1"/>
    <col min="12" max="12" width="10.7109375" style="2" bestFit="1" customWidth="1"/>
    <col min="13" max="16384" width="9.140625" style="2"/>
  </cols>
  <sheetData>
    <row r="1" spans="1:7" ht="18.75">
      <c r="A1" s="56" t="s">
        <v>41</v>
      </c>
      <c r="B1" s="56"/>
      <c r="C1" s="56"/>
      <c r="D1" s="56"/>
      <c r="E1" s="56"/>
      <c r="F1" s="56"/>
      <c r="G1" s="56"/>
    </row>
    <row r="2" spans="1:7">
      <c r="A2" s="64" t="s">
        <v>42</v>
      </c>
      <c r="B2" s="64"/>
      <c r="C2" s="64"/>
      <c r="D2" s="64"/>
      <c r="E2" s="64"/>
      <c r="F2" s="64"/>
      <c r="G2" s="64"/>
    </row>
    <row r="3" spans="1:7">
      <c r="A3" s="3" t="s">
        <v>30</v>
      </c>
      <c r="B3" s="51"/>
      <c r="C3" s="51"/>
      <c r="D3" s="51"/>
      <c r="E3" s="51"/>
      <c r="F3" s="51"/>
      <c r="G3" s="51"/>
    </row>
    <row r="4" spans="1:7">
      <c r="A4" s="3" t="s">
        <v>25</v>
      </c>
      <c r="B4" s="65"/>
      <c r="C4" s="65"/>
      <c r="D4" s="65"/>
      <c r="E4" s="65"/>
      <c r="F4" s="65"/>
      <c r="G4" s="65"/>
    </row>
    <row r="5" spans="1:7">
      <c r="A5" s="3" t="s">
        <v>31</v>
      </c>
      <c r="B5" s="65">
        <v>1100</v>
      </c>
      <c r="C5" s="65"/>
      <c r="D5" s="65"/>
      <c r="E5" s="65"/>
      <c r="F5" s="65"/>
      <c r="G5" s="65"/>
    </row>
    <row r="6" spans="1:7">
      <c r="A6" s="3" t="s">
        <v>27</v>
      </c>
      <c r="B6" s="65"/>
      <c r="C6" s="65"/>
      <c r="D6" s="65"/>
      <c r="E6" s="65"/>
      <c r="F6" s="65"/>
      <c r="G6" s="65"/>
    </row>
    <row r="7" spans="1:7">
      <c r="A7" s="3" t="s">
        <v>28</v>
      </c>
      <c r="B7" s="71"/>
      <c r="C7" s="71"/>
      <c r="D7" s="71"/>
      <c r="E7" s="71"/>
      <c r="F7" s="71"/>
      <c r="G7" s="71"/>
    </row>
    <row r="8" spans="1:7">
      <c r="A8" s="3" t="s">
        <v>29</v>
      </c>
      <c r="B8" s="72"/>
      <c r="C8" s="72"/>
      <c r="D8" s="72"/>
      <c r="E8" s="72"/>
      <c r="F8" s="72"/>
      <c r="G8" s="72"/>
    </row>
    <row r="9" spans="1:7">
      <c r="A9" s="36" t="s">
        <v>57</v>
      </c>
      <c r="B9" s="65"/>
      <c r="C9" s="65"/>
      <c r="D9" s="65"/>
      <c r="E9" s="65"/>
      <c r="F9" s="65"/>
      <c r="G9" s="65"/>
    </row>
    <row r="10" spans="1:7">
      <c r="A10" s="3" t="s">
        <v>26</v>
      </c>
      <c r="B10" s="65"/>
      <c r="C10" s="65"/>
      <c r="D10" s="65"/>
      <c r="E10" s="65"/>
      <c r="F10" s="65"/>
      <c r="G10" s="65"/>
    </row>
    <row r="11" spans="1:7">
      <c r="A11" s="4"/>
      <c r="B11" s="4"/>
      <c r="C11" s="4"/>
      <c r="D11" s="4"/>
      <c r="E11" s="4"/>
      <c r="F11" s="4"/>
      <c r="G11" s="4"/>
    </row>
    <row r="12" spans="1:7">
      <c r="A12" s="69" t="s">
        <v>43</v>
      </c>
      <c r="B12" s="69"/>
      <c r="C12" s="69"/>
      <c r="D12" s="69"/>
      <c r="E12" s="69"/>
      <c r="F12" s="69"/>
      <c r="G12" s="69"/>
    </row>
    <row r="13" spans="1:7">
      <c r="A13" s="58" t="s">
        <v>44</v>
      </c>
      <c r="B13" s="59"/>
      <c r="C13" s="60"/>
      <c r="D13" s="5" t="s">
        <v>45</v>
      </c>
      <c r="E13" s="6" t="s">
        <v>46</v>
      </c>
      <c r="F13" s="7" t="s">
        <v>47</v>
      </c>
      <c r="G13" s="6" t="s">
        <v>48</v>
      </c>
    </row>
    <row r="14" spans="1:7">
      <c r="A14" s="62" t="s">
        <v>0</v>
      </c>
      <c r="B14" s="63"/>
      <c r="C14" s="70"/>
      <c r="D14" s="8">
        <f>+B4</f>
        <v>0</v>
      </c>
      <c r="E14" s="37">
        <v>0</v>
      </c>
      <c r="F14" s="8" t="s">
        <v>18</v>
      </c>
      <c r="G14" s="9">
        <f t="shared" ref="G14:G19" si="0">D14*E14</f>
        <v>0</v>
      </c>
    </row>
    <row r="15" spans="1:7">
      <c r="A15" s="62" t="s">
        <v>1</v>
      </c>
      <c r="B15" s="63"/>
      <c r="C15" s="70"/>
      <c r="D15" s="38">
        <v>0</v>
      </c>
      <c r="E15" s="37">
        <v>0</v>
      </c>
      <c r="F15" s="8" t="s">
        <v>18</v>
      </c>
      <c r="G15" s="9">
        <f t="shared" si="0"/>
        <v>0</v>
      </c>
    </row>
    <row r="16" spans="1:7">
      <c r="A16" s="62" t="s">
        <v>2</v>
      </c>
      <c r="B16" s="63"/>
      <c r="C16" s="70"/>
      <c r="D16" s="38">
        <v>0</v>
      </c>
      <c r="E16" s="37">
        <v>0</v>
      </c>
      <c r="F16" s="8" t="s">
        <v>18</v>
      </c>
      <c r="G16" s="9">
        <f t="shared" si="0"/>
        <v>0</v>
      </c>
    </row>
    <row r="17" spans="1:12">
      <c r="A17" s="62" t="s">
        <v>3</v>
      </c>
      <c r="B17" s="63"/>
      <c r="C17" s="70"/>
      <c r="D17" s="10">
        <v>1</v>
      </c>
      <c r="E17" s="37">
        <v>0</v>
      </c>
      <c r="F17" s="8" t="s">
        <v>19</v>
      </c>
      <c r="G17" s="9">
        <f t="shared" si="0"/>
        <v>0</v>
      </c>
    </row>
    <row r="18" spans="1:12">
      <c r="A18" s="62" t="s">
        <v>4</v>
      </c>
      <c r="B18" s="63"/>
      <c r="C18" s="70"/>
      <c r="D18" s="8">
        <f>+B4</f>
        <v>0</v>
      </c>
      <c r="E18" s="37">
        <v>0</v>
      </c>
      <c r="F18" s="8" t="s">
        <v>18</v>
      </c>
      <c r="G18" s="9">
        <f t="shared" si="0"/>
        <v>0</v>
      </c>
    </row>
    <row r="19" spans="1:12">
      <c r="A19" s="62" t="s">
        <v>5</v>
      </c>
      <c r="B19" s="63"/>
      <c r="C19" s="70"/>
      <c r="D19" s="10">
        <v>1</v>
      </c>
      <c r="E19" s="37">
        <v>0</v>
      </c>
      <c r="F19" s="8" t="s">
        <v>20</v>
      </c>
      <c r="G19" s="9">
        <f t="shared" si="0"/>
        <v>0</v>
      </c>
    </row>
    <row r="20" spans="1:12">
      <c r="A20" s="62" t="s">
        <v>6</v>
      </c>
      <c r="B20" s="63"/>
      <c r="C20" s="70"/>
      <c r="D20" s="10">
        <v>1</v>
      </c>
      <c r="E20" s="37">
        <v>0</v>
      </c>
      <c r="F20" s="8" t="s">
        <v>21</v>
      </c>
      <c r="G20" s="9">
        <f>E20</f>
        <v>0</v>
      </c>
    </row>
    <row r="21" spans="1:12">
      <c r="A21" s="61" t="s">
        <v>56</v>
      </c>
      <c r="B21" s="61"/>
      <c r="C21" s="61"/>
      <c r="D21" s="61"/>
      <c r="E21" s="61"/>
      <c r="F21" s="61"/>
      <c r="G21" s="6">
        <f>SUM(G14:G20)</f>
        <v>0</v>
      </c>
    </row>
    <row r="22" spans="1:12">
      <c r="A22" s="11"/>
      <c r="B22" s="11"/>
      <c r="C22" s="11"/>
      <c r="D22" s="11"/>
      <c r="E22" s="11"/>
      <c r="F22" s="11"/>
      <c r="G22" s="12"/>
    </row>
    <row r="23" spans="1:12">
      <c r="A23" s="69" t="s">
        <v>49</v>
      </c>
      <c r="B23" s="69"/>
      <c r="C23" s="69"/>
      <c r="D23" s="69"/>
      <c r="E23" s="69"/>
      <c r="F23" s="69"/>
      <c r="G23" s="69"/>
    </row>
    <row r="24" spans="1:12">
      <c r="A24" s="13" t="s">
        <v>11</v>
      </c>
      <c r="B24" s="14" t="s">
        <v>13</v>
      </c>
      <c r="C24" s="15">
        <v>0</v>
      </c>
      <c r="D24" s="16">
        <v>0</v>
      </c>
      <c r="E24" s="37">
        <f>+H24+(H24*5%)+IF(D24=0,0,0.4)</f>
        <v>0</v>
      </c>
      <c r="F24" s="8" t="s">
        <v>17</v>
      </c>
      <c r="G24" s="9">
        <f>((INT(D24)*C24)+((D24-INT(D24))*1000)*(C24/500))*E24</f>
        <v>0</v>
      </c>
    </row>
    <row r="25" spans="1:12">
      <c r="A25" s="13"/>
      <c r="B25" s="14" t="s">
        <v>14</v>
      </c>
      <c r="C25" s="15">
        <v>0</v>
      </c>
      <c r="D25" s="16">
        <v>0</v>
      </c>
      <c r="E25" s="37">
        <f>+H25+(H25*5%)+IF(D25=0,0,0.4)</f>
        <v>0</v>
      </c>
      <c r="F25" s="8" t="s">
        <v>17</v>
      </c>
      <c r="G25" s="9">
        <f>((INT(D25)*C25)+((D25-INT(D25))*1000)*(C25/500))*E25</f>
        <v>0</v>
      </c>
    </row>
    <row r="26" spans="1:12">
      <c r="A26" s="13"/>
      <c r="B26" s="14" t="s">
        <v>15</v>
      </c>
      <c r="C26" s="15">
        <v>0</v>
      </c>
      <c r="D26" s="16">
        <v>0</v>
      </c>
      <c r="E26" s="37">
        <f t="shared" ref="E26:E27" si="1">+H26+(H26*5%)+IF(D26=0,0,0.4)</f>
        <v>0</v>
      </c>
      <c r="F26" s="8" t="s">
        <v>17</v>
      </c>
      <c r="G26" s="9">
        <f>((INT(D26)*C26)+((D26-INT(D26))*1000)*(C26/500))*E26</f>
        <v>0</v>
      </c>
    </row>
    <row r="27" spans="1:12">
      <c r="A27" s="13" t="s">
        <v>12</v>
      </c>
      <c r="B27" s="13" t="s">
        <v>15</v>
      </c>
      <c r="C27" s="15">
        <v>0</v>
      </c>
      <c r="D27" s="16">
        <v>0</v>
      </c>
      <c r="E27" s="37">
        <f t="shared" si="1"/>
        <v>0</v>
      </c>
      <c r="F27" s="8" t="s">
        <v>17</v>
      </c>
      <c r="G27" s="9">
        <f>((INT(D27)*C27)+((D27-INT(D27))*1000)*(C27/500))*E27</f>
        <v>0</v>
      </c>
      <c r="L27" s="17"/>
    </row>
    <row r="28" spans="1:12">
      <c r="A28" s="13" t="s">
        <v>7</v>
      </c>
      <c r="B28" s="13" t="s">
        <v>13</v>
      </c>
      <c r="C28" s="13"/>
      <c r="D28" s="18">
        <v>0</v>
      </c>
      <c r="E28" s="19">
        <v>0</v>
      </c>
      <c r="F28" s="8" t="s">
        <v>16</v>
      </c>
      <c r="G28" s="20">
        <f>D28*VALUE(LEFT(B28,1))*E28</f>
        <v>0</v>
      </c>
    </row>
    <row r="29" spans="1:12">
      <c r="A29" s="13"/>
      <c r="B29" s="13" t="s">
        <v>14</v>
      </c>
      <c r="C29" s="13"/>
      <c r="D29" s="18">
        <v>0</v>
      </c>
      <c r="E29" s="19">
        <v>0</v>
      </c>
      <c r="F29" s="8" t="s">
        <v>16</v>
      </c>
      <c r="G29" s="20">
        <f>D29*VALUE(LEFT(B29,1))*E29</f>
        <v>0</v>
      </c>
    </row>
    <row r="30" spans="1:12">
      <c r="A30" s="13"/>
      <c r="B30" s="13" t="s">
        <v>15</v>
      </c>
      <c r="C30" s="13"/>
      <c r="D30" s="18">
        <v>0</v>
      </c>
      <c r="E30" s="19">
        <v>0</v>
      </c>
      <c r="F30" s="8" t="s">
        <v>16</v>
      </c>
      <c r="G30" s="20">
        <f>D30*VALUE(LEFT(B30,1))*E30</f>
        <v>0</v>
      </c>
    </row>
    <row r="31" spans="1:12">
      <c r="A31" s="13" t="s">
        <v>8</v>
      </c>
      <c r="B31" s="13" t="s">
        <v>15</v>
      </c>
      <c r="C31" s="13"/>
      <c r="D31" s="18">
        <v>0</v>
      </c>
      <c r="E31" s="19">
        <v>0</v>
      </c>
      <c r="F31" s="8" t="s">
        <v>16</v>
      </c>
      <c r="G31" s="20">
        <f>+E31*D31</f>
        <v>0</v>
      </c>
    </row>
    <row r="32" spans="1:12">
      <c r="A32" s="13" t="s">
        <v>9</v>
      </c>
      <c r="B32" s="62" t="s">
        <v>13</v>
      </c>
      <c r="C32" s="70"/>
      <c r="D32" s="19">
        <v>0</v>
      </c>
      <c r="E32" s="19">
        <v>0</v>
      </c>
      <c r="F32" s="13">
        <v>1000</v>
      </c>
      <c r="G32" s="20">
        <f>H32*VALUE(LEFT(B32,1))*E32</f>
        <v>0</v>
      </c>
      <c r="H32" s="21">
        <v>182</v>
      </c>
    </row>
    <row r="33" spans="1:9">
      <c r="A33" s="13"/>
      <c r="B33" s="62" t="s">
        <v>14</v>
      </c>
      <c r="C33" s="70"/>
      <c r="D33" s="19">
        <v>0</v>
      </c>
      <c r="E33" s="19">
        <v>0</v>
      </c>
      <c r="F33" s="13">
        <v>1000</v>
      </c>
      <c r="G33" s="20">
        <f>H33*VALUE(LEFT(B33,1))*E33</f>
        <v>0</v>
      </c>
      <c r="H33" s="2">
        <v>0</v>
      </c>
    </row>
    <row r="34" spans="1:9">
      <c r="A34" s="13"/>
      <c r="B34" s="62" t="s">
        <v>15</v>
      </c>
      <c r="C34" s="70"/>
      <c r="D34" s="19">
        <v>0</v>
      </c>
      <c r="E34" s="19">
        <v>0</v>
      </c>
      <c r="F34" s="13">
        <v>1000</v>
      </c>
      <c r="G34" s="20">
        <f>H34*VALUE(LEFT(B34,1))*E34</f>
        <v>0</v>
      </c>
      <c r="H34" s="2">
        <v>0</v>
      </c>
    </row>
    <row r="35" spans="1:9">
      <c r="A35" s="13" t="s">
        <v>10</v>
      </c>
      <c r="B35" s="73" t="s">
        <v>15</v>
      </c>
      <c r="C35" s="73"/>
      <c r="D35" s="19"/>
      <c r="E35" s="19">
        <v>0</v>
      </c>
      <c r="F35" s="13">
        <v>1000</v>
      </c>
      <c r="G35" s="20">
        <f>IF(H35&lt;1000,1,H35/1000)*VALUE(LEFT(B35,1))*E35</f>
        <v>0</v>
      </c>
      <c r="H35" s="2">
        <v>1650</v>
      </c>
    </row>
    <row r="36" spans="1:9">
      <c r="A36" s="62" t="s">
        <v>24</v>
      </c>
      <c r="B36" s="63"/>
      <c r="C36" s="70"/>
      <c r="D36" s="18">
        <f>+B5</f>
        <v>1100</v>
      </c>
      <c r="E36" s="19">
        <v>0</v>
      </c>
      <c r="F36" s="8" t="s">
        <v>20</v>
      </c>
      <c r="G36" s="20">
        <f>+E36*D36</f>
        <v>0</v>
      </c>
    </row>
    <row r="37" spans="1:9">
      <c r="A37" s="62" t="s">
        <v>35</v>
      </c>
      <c r="B37" s="63"/>
      <c r="C37" s="70"/>
      <c r="D37" s="18">
        <f>+B8</f>
        <v>0</v>
      </c>
      <c r="E37" s="19">
        <v>0</v>
      </c>
      <c r="F37" s="13">
        <v>1000</v>
      </c>
      <c r="G37" s="9">
        <f>(D37*B5*E37)/F37</f>
        <v>0</v>
      </c>
    </row>
    <row r="38" spans="1:9">
      <c r="A38" s="74" t="s">
        <v>36</v>
      </c>
      <c r="B38" s="75"/>
      <c r="C38" s="76"/>
      <c r="D38" s="18">
        <f>+B5</f>
        <v>1100</v>
      </c>
      <c r="E38" s="19">
        <v>0</v>
      </c>
      <c r="F38" s="13" t="s">
        <v>21</v>
      </c>
      <c r="G38" s="9">
        <f>+D38*E38</f>
        <v>0</v>
      </c>
    </row>
    <row r="39" spans="1:9">
      <c r="A39" s="74" t="s">
        <v>37</v>
      </c>
      <c r="B39" s="75"/>
      <c r="C39" s="76"/>
      <c r="D39" s="18">
        <f>+B8</f>
        <v>0</v>
      </c>
      <c r="E39" s="19">
        <v>0</v>
      </c>
      <c r="F39" s="13">
        <v>1000</v>
      </c>
      <c r="G39" s="9">
        <f>(D39*B5*E39)/F39</f>
        <v>0</v>
      </c>
    </row>
    <row r="40" spans="1:9">
      <c r="A40" s="74" t="s">
        <v>38</v>
      </c>
      <c r="B40" s="75"/>
      <c r="C40" s="76"/>
      <c r="D40" s="81"/>
      <c r="E40" s="82"/>
      <c r="F40" s="83"/>
      <c r="G40" s="9">
        <f>+D40*E40</f>
        <v>0</v>
      </c>
    </row>
    <row r="41" spans="1:9">
      <c r="A41" s="78" t="s">
        <v>39</v>
      </c>
      <c r="B41" s="63"/>
      <c r="C41" s="70"/>
      <c r="D41" s="18">
        <f>+B5</f>
        <v>1100</v>
      </c>
      <c r="E41" s="19">
        <v>0</v>
      </c>
      <c r="F41" s="8" t="s">
        <v>21</v>
      </c>
      <c r="G41" s="9">
        <f>+D41*E41</f>
        <v>0</v>
      </c>
    </row>
    <row r="42" spans="1:9">
      <c r="A42" s="61" t="s">
        <v>55</v>
      </c>
      <c r="B42" s="61"/>
      <c r="C42" s="61"/>
      <c r="D42" s="61"/>
      <c r="E42" s="61"/>
      <c r="F42" s="61"/>
      <c r="G42" s="6">
        <f>SUM(G24:G41)</f>
        <v>0</v>
      </c>
    </row>
    <row r="43" spans="1:9">
      <c r="A43" s="11"/>
      <c r="B43" s="11"/>
      <c r="C43" s="11"/>
      <c r="D43" s="11"/>
      <c r="E43" s="11"/>
      <c r="F43" s="11"/>
      <c r="G43" s="12"/>
    </row>
    <row r="44" spans="1:9">
      <c r="A44" s="73" t="s">
        <v>22</v>
      </c>
      <c r="B44" s="73"/>
      <c r="C44" s="73"/>
      <c r="D44" s="79">
        <f>+B5</f>
        <v>1100</v>
      </c>
      <c r="E44" s="79"/>
      <c r="F44" s="79"/>
      <c r="G44" s="79"/>
      <c r="H44" s="22"/>
      <c r="I44" s="23"/>
    </row>
    <row r="45" spans="1:9">
      <c r="A45" s="62" t="s">
        <v>34</v>
      </c>
      <c r="B45" s="63"/>
      <c r="C45" s="40">
        <v>0.15</v>
      </c>
      <c r="D45" s="66">
        <f>+D44*C45</f>
        <v>165</v>
      </c>
      <c r="E45" s="67"/>
      <c r="F45" s="67"/>
      <c r="G45" s="68"/>
      <c r="H45" s="22"/>
      <c r="I45" s="23"/>
    </row>
    <row r="46" spans="1:9">
      <c r="A46" s="62" t="s">
        <v>32</v>
      </c>
      <c r="B46" s="63"/>
      <c r="C46" s="40">
        <v>0.1</v>
      </c>
      <c r="D46" s="66">
        <f>+D44*C46</f>
        <v>110</v>
      </c>
      <c r="E46" s="67"/>
      <c r="F46" s="67"/>
      <c r="G46" s="68"/>
      <c r="H46" s="22"/>
      <c r="I46" s="23"/>
    </row>
    <row r="47" spans="1:9">
      <c r="A47" s="73" t="s">
        <v>58</v>
      </c>
      <c r="B47" s="73"/>
      <c r="C47" s="73"/>
      <c r="D47" s="80">
        <v>25</v>
      </c>
      <c r="E47" s="80"/>
      <c r="F47" s="80"/>
      <c r="G47" s="80"/>
      <c r="H47" s="22"/>
      <c r="I47" s="23"/>
    </row>
    <row r="48" spans="1:9">
      <c r="A48" s="61" t="s">
        <v>23</v>
      </c>
      <c r="B48" s="61"/>
      <c r="C48" s="61"/>
      <c r="D48" s="80">
        <v>1</v>
      </c>
      <c r="E48" s="80"/>
      <c r="F48" s="80"/>
      <c r="G48" s="80"/>
      <c r="H48" s="22"/>
      <c r="I48" s="22"/>
    </row>
    <row r="49" spans="1:11">
      <c r="A49" s="62" t="s">
        <v>33</v>
      </c>
      <c r="B49" s="63"/>
      <c r="C49" s="39">
        <v>0.35</v>
      </c>
      <c r="D49" s="24">
        <f>+D58</f>
        <v>825</v>
      </c>
      <c r="E49" s="19">
        <f>+D48*C49</f>
        <v>0.35</v>
      </c>
      <c r="F49" s="8" t="s">
        <v>21</v>
      </c>
      <c r="G49" s="19">
        <f>+E49*D49</f>
        <v>288.75</v>
      </c>
      <c r="H49" s="22"/>
      <c r="I49" s="22"/>
    </row>
    <row r="50" spans="1:11" hidden="1">
      <c r="A50" s="62" t="s">
        <v>67</v>
      </c>
      <c r="B50" s="63"/>
      <c r="C50" s="39">
        <v>0</v>
      </c>
      <c r="D50" s="24">
        <f>+D58</f>
        <v>825</v>
      </c>
      <c r="E50" s="20">
        <f>E58*C50</f>
        <v>0</v>
      </c>
      <c r="F50" s="8" t="s">
        <v>21</v>
      </c>
      <c r="G50" s="19">
        <f>+E50*D50</f>
        <v>0</v>
      </c>
      <c r="H50" s="22"/>
      <c r="I50" s="22"/>
    </row>
    <row r="51" spans="1:11">
      <c r="A51" s="62" t="s">
        <v>61</v>
      </c>
      <c r="B51" s="63"/>
      <c r="C51" s="39">
        <v>0.45</v>
      </c>
      <c r="D51" s="24">
        <f>+B5</f>
        <v>1100</v>
      </c>
      <c r="E51" s="20">
        <f>((G21+G42)/B5)*C51</f>
        <v>0</v>
      </c>
      <c r="F51" s="8" t="s">
        <v>21</v>
      </c>
      <c r="G51" s="19">
        <f>+E51*D51</f>
        <v>0</v>
      </c>
      <c r="H51" s="22"/>
      <c r="I51" s="22"/>
    </row>
    <row r="52" spans="1:11">
      <c r="A52" s="62" t="s">
        <v>62</v>
      </c>
      <c r="B52" s="63"/>
      <c r="C52" s="39">
        <v>0.45</v>
      </c>
      <c r="D52" s="24">
        <f>+B5</f>
        <v>1100</v>
      </c>
      <c r="E52" s="20">
        <f>(G42/B5)*C52</f>
        <v>0</v>
      </c>
      <c r="F52" s="8" t="s">
        <v>21</v>
      </c>
      <c r="G52" s="19">
        <f>+E52*D52</f>
        <v>0</v>
      </c>
      <c r="H52" s="22"/>
      <c r="I52" s="22"/>
    </row>
    <row r="53" spans="1:11">
      <c r="A53" s="62" t="s">
        <v>63</v>
      </c>
      <c r="B53" s="63"/>
      <c r="C53" s="39">
        <v>0.45</v>
      </c>
      <c r="D53" s="24">
        <f>+B5</f>
        <v>1100</v>
      </c>
      <c r="E53" s="20">
        <f>(AVERAGE((G21+G42),G42)/B5)*C53</f>
        <v>0</v>
      </c>
      <c r="F53" s="8" t="s">
        <v>21</v>
      </c>
      <c r="G53" s="19">
        <f>+E53*D53</f>
        <v>0</v>
      </c>
      <c r="H53" s="22"/>
      <c r="I53" s="22"/>
    </row>
    <row r="54" spans="1:11">
      <c r="A54" s="61" t="s">
        <v>64</v>
      </c>
      <c r="B54" s="61"/>
      <c r="C54" s="61"/>
      <c r="D54" s="61"/>
      <c r="E54" s="61"/>
      <c r="F54" s="61"/>
      <c r="G54" s="19">
        <f>(G21+G42)+G50+G51</f>
        <v>0</v>
      </c>
      <c r="H54" s="22"/>
      <c r="I54" s="22"/>
    </row>
    <row r="55" spans="1:11">
      <c r="A55" s="61" t="s">
        <v>65</v>
      </c>
      <c r="B55" s="61"/>
      <c r="C55" s="61"/>
      <c r="D55" s="61"/>
      <c r="E55" s="61"/>
      <c r="F55" s="61"/>
      <c r="G55" s="19">
        <f>+G42+G50+G52</f>
        <v>0</v>
      </c>
      <c r="H55" s="22"/>
      <c r="I55" s="22"/>
    </row>
    <row r="56" spans="1:11">
      <c r="A56" s="61" t="s">
        <v>66</v>
      </c>
      <c r="B56" s="61"/>
      <c r="C56" s="61"/>
      <c r="D56" s="61"/>
      <c r="E56" s="61"/>
      <c r="F56" s="61"/>
      <c r="G56" s="19">
        <f>AVERAGE((G21+G42),G42)+G50+G53</f>
        <v>0</v>
      </c>
      <c r="H56" s="22"/>
      <c r="I56" s="22"/>
    </row>
    <row r="57" spans="1:11">
      <c r="A57" s="25"/>
      <c r="B57" s="25"/>
      <c r="C57" s="26"/>
      <c r="D57" s="27"/>
      <c r="E57" s="27"/>
      <c r="F57" s="22"/>
      <c r="G57" s="28"/>
      <c r="H57" s="22"/>
      <c r="I57" s="22"/>
    </row>
    <row r="58" spans="1:11">
      <c r="A58" s="61" t="s">
        <v>50</v>
      </c>
      <c r="B58" s="61"/>
      <c r="C58" s="61"/>
      <c r="D58" s="29">
        <f>+D44-(D45+D46)</f>
        <v>825</v>
      </c>
      <c r="E58" s="30">
        <f>+D48-E49</f>
        <v>0.65</v>
      </c>
      <c r="F58" s="31" t="s">
        <v>40</v>
      </c>
      <c r="G58" s="30">
        <f>+D58*E58</f>
        <v>536.25</v>
      </c>
      <c r="H58" s="32"/>
      <c r="I58" s="22"/>
    </row>
    <row r="59" spans="1:11">
      <c r="A59" s="58" t="s">
        <v>51</v>
      </c>
      <c r="B59" s="59"/>
      <c r="C59" s="59"/>
      <c r="D59" s="59"/>
      <c r="E59" s="59"/>
      <c r="F59" s="60"/>
      <c r="G59" s="33">
        <f>+G58-((G21+G42)+G50+G51)</f>
        <v>536.25</v>
      </c>
      <c r="H59" s="41"/>
      <c r="I59" s="42" t="e">
        <f>+K59</f>
        <v>#DIV/0!</v>
      </c>
      <c r="J59" s="17"/>
      <c r="K59" s="17" t="e">
        <f>+G59/G54</f>
        <v>#DIV/0!</v>
      </c>
    </row>
    <row r="60" spans="1:11">
      <c r="A60" s="61" t="s">
        <v>52</v>
      </c>
      <c r="B60" s="61"/>
      <c r="C60" s="61"/>
      <c r="D60" s="61"/>
      <c r="E60" s="61"/>
      <c r="F60" s="61"/>
      <c r="G60" s="33">
        <f>+G58-(G42+G50+G52)</f>
        <v>536.25</v>
      </c>
      <c r="H60" s="41"/>
      <c r="I60" s="42" t="e">
        <f t="shared" ref="I60:I61" si="2">+K60</f>
        <v>#DIV/0!</v>
      </c>
      <c r="K60" s="17" t="e">
        <f>+G60/G55</f>
        <v>#DIV/0!</v>
      </c>
    </row>
    <row r="61" spans="1:11">
      <c r="A61" s="58" t="s">
        <v>59</v>
      </c>
      <c r="B61" s="59"/>
      <c r="C61" s="59"/>
      <c r="D61" s="59"/>
      <c r="E61" s="59"/>
      <c r="F61" s="60"/>
      <c r="G61" s="33">
        <f>+G58-(AVERAGE((G21+G42),G42)+G50+G53)</f>
        <v>536.25</v>
      </c>
      <c r="H61" s="22"/>
      <c r="I61" s="42" t="e">
        <f t="shared" si="2"/>
        <v>#DIV/0!</v>
      </c>
      <c r="K61" s="17" t="e">
        <f>+G61/G56</f>
        <v>#DIV/0!</v>
      </c>
    </row>
    <row r="62" spans="1:11" ht="15">
      <c r="A62" s="61" t="s">
        <v>53</v>
      </c>
      <c r="B62" s="77"/>
      <c r="C62" s="30" t="s">
        <v>69</v>
      </c>
      <c r="D62" s="30">
        <f>+(G21+G42)/B5</f>
        <v>0</v>
      </c>
      <c r="E62" s="61" t="s">
        <v>68</v>
      </c>
      <c r="F62" s="77"/>
      <c r="G62" s="30">
        <f>+(G21+G42)/D58</f>
        <v>0</v>
      </c>
      <c r="H62" s="1"/>
      <c r="I62" s="1"/>
    </row>
    <row r="63" spans="1:11" ht="15">
      <c r="A63" s="61" t="s">
        <v>54</v>
      </c>
      <c r="B63" s="77"/>
      <c r="C63" s="30" t="s">
        <v>69</v>
      </c>
      <c r="D63" s="30">
        <f>+G42/B5</f>
        <v>0</v>
      </c>
      <c r="E63" s="61" t="s">
        <v>68</v>
      </c>
      <c r="F63" s="77"/>
      <c r="G63" s="30">
        <f>+G42/D58</f>
        <v>0</v>
      </c>
      <c r="H63" s="1"/>
      <c r="I63" s="1"/>
    </row>
    <row r="64" spans="1:11" ht="15">
      <c r="A64" s="61" t="s">
        <v>60</v>
      </c>
      <c r="B64" s="77"/>
      <c r="C64" s="30" t="s">
        <v>69</v>
      </c>
      <c r="D64" s="30">
        <f>AVERAGE((G21+G42),G42)/B5</f>
        <v>0</v>
      </c>
      <c r="E64" s="61" t="s">
        <v>68</v>
      </c>
      <c r="F64" s="77"/>
      <c r="G64" s="30">
        <f>AVERAGE((G21+G42),G42)/D58</f>
        <v>0</v>
      </c>
      <c r="H64" s="1"/>
      <c r="I64" s="1"/>
    </row>
    <row r="65" spans="1:12" ht="18.75" customHeight="1">
      <c r="A65" s="57"/>
      <c r="B65" s="57"/>
      <c r="C65" s="57"/>
      <c r="D65" s="57"/>
      <c r="E65" s="57"/>
      <c r="F65" s="57"/>
      <c r="G65" s="57"/>
    </row>
    <row r="66" spans="1:12">
      <c r="A66" s="51" t="s">
        <v>70</v>
      </c>
      <c r="B66" s="51"/>
      <c r="C66" s="52">
        <v>0.6</v>
      </c>
      <c r="D66" s="53"/>
      <c r="E66" s="54">
        <f>+B5*C66</f>
        <v>660</v>
      </c>
      <c r="F66" s="55"/>
      <c r="I66" s="43"/>
      <c r="J66" s="44"/>
      <c r="L66" s="43"/>
    </row>
    <row r="67" spans="1:12" ht="15">
      <c r="A67" s="48" t="s">
        <v>72</v>
      </c>
      <c r="B67" s="50"/>
      <c r="C67" s="45">
        <f>70%-$C$66</f>
        <v>9.9999999999999978E-2</v>
      </c>
      <c r="D67" s="45">
        <f>80%-$C$66</f>
        <v>0.20000000000000007</v>
      </c>
      <c r="E67" s="45">
        <f>90%-$C$66</f>
        <v>0.30000000000000004</v>
      </c>
      <c r="F67" s="45">
        <f>100%-$C$66</f>
        <v>0.4</v>
      </c>
    </row>
    <row r="68" spans="1:12" ht="15">
      <c r="A68" s="48" t="s">
        <v>71</v>
      </c>
      <c r="B68" s="50"/>
      <c r="C68" s="46">
        <f>+$B$5*(C67+$C$66)-$B$5*$C$66</f>
        <v>110</v>
      </c>
      <c r="D68" s="46">
        <f t="shared" ref="D68:F68" si="3">+$B$5*(D67+$C$66)-$B$5*$C$66</f>
        <v>220</v>
      </c>
      <c r="E68" s="46">
        <f t="shared" si="3"/>
        <v>330</v>
      </c>
      <c r="F68" s="46">
        <f t="shared" si="3"/>
        <v>440</v>
      </c>
    </row>
    <row r="69" spans="1:12" ht="15">
      <c r="A69" s="48" t="s">
        <v>73</v>
      </c>
      <c r="B69" s="49"/>
      <c r="C69" s="47">
        <f>+C68*$E$58</f>
        <v>71.5</v>
      </c>
      <c r="D69" s="47">
        <f t="shared" ref="D69:F69" si="4">+D68*$E$58</f>
        <v>143</v>
      </c>
      <c r="E69" s="47">
        <f t="shared" si="4"/>
        <v>214.5</v>
      </c>
      <c r="F69" s="47">
        <f t="shared" si="4"/>
        <v>286</v>
      </c>
    </row>
  </sheetData>
  <sheetProtection password="CA49" sheet="1" objects="1" scenarios="1" formatCells="0" formatColumns="0" formatRows="0"/>
  <mergeCells count="68">
    <mergeCell ref="E62:F62"/>
    <mergeCell ref="E63:F63"/>
    <mergeCell ref="E64:F64"/>
    <mergeCell ref="A64:B64"/>
    <mergeCell ref="A41:C41"/>
    <mergeCell ref="A48:C48"/>
    <mergeCell ref="D44:G44"/>
    <mergeCell ref="D48:G48"/>
    <mergeCell ref="A42:F42"/>
    <mergeCell ref="A46:B46"/>
    <mergeCell ref="D46:G46"/>
    <mergeCell ref="A47:C47"/>
    <mergeCell ref="D47:G47"/>
    <mergeCell ref="A62:B62"/>
    <mergeCell ref="A63:B63"/>
    <mergeCell ref="A58:C58"/>
    <mergeCell ref="A44:C44"/>
    <mergeCell ref="A61:F61"/>
    <mergeCell ref="A38:C38"/>
    <mergeCell ref="A39:C39"/>
    <mergeCell ref="A40:C40"/>
    <mergeCell ref="A52:B52"/>
    <mergeCell ref="A53:B53"/>
    <mergeCell ref="A54:F54"/>
    <mergeCell ref="A55:F55"/>
    <mergeCell ref="A56:F56"/>
    <mergeCell ref="D40:F40"/>
    <mergeCell ref="B32:C32"/>
    <mergeCell ref="B33:C33"/>
    <mergeCell ref="B34:C34"/>
    <mergeCell ref="A36:C36"/>
    <mergeCell ref="A37:C37"/>
    <mergeCell ref="B35:C35"/>
    <mergeCell ref="B7:G7"/>
    <mergeCell ref="B8:G8"/>
    <mergeCell ref="B10:G10"/>
    <mergeCell ref="A12:G12"/>
    <mergeCell ref="A21:F21"/>
    <mergeCell ref="B9:G9"/>
    <mergeCell ref="A19:C19"/>
    <mergeCell ref="A20:C20"/>
    <mergeCell ref="A13:C13"/>
    <mergeCell ref="A14:C14"/>
    <mergeCell ref="A15:C15"/>
    <mergeCell ref="A16:C16"/>
    <mergeCell ref="A18:C18"/>
    <mergeCell ref="A1:G1"/>
    <mergeCell ref="A65:G65"/>
    <mergeCell ref="A59:F59"/>
    <mergeCell ref="A60:F60"/>
    <mergeCell ref="A49:B49"/>
    <mergeCell ref="A50:B50"/>
    <mergeCell ref="A51:B51"/>
    <mergeCell ref="A2:G2"/>
    <mergeCell ref="B3:G3"/>
    <mergeCell ref="B4:G4"/>
    <mergeCell ref="B5:G5"/>
    <mergeCell ref="B6:G6"/>
    <mergeCell ref="A45:B45"/>
    <mergeCell ref="D45:G45"/>
    <mergeCell ref="A23:G23"/>
    <mergeCell ref="A17:C17"/>
    <mergeCell ref="A69:B69"/>
    <mergeCell ref="A67:B67"/>
    <mergeCell ref="A66:B66"/>
    <mergeCell ref="C66:D66"/>
    <mergeCell ref="E66:F66"/>
    <mergeCell ref="A68:B68"/>
  </mergeCells>
  <printOptions horizontalCentered="1"/>
  <pageMargins left="0.28000000000000003" right="0.26" top="0.31" bottom="0.28999999999999998" header="0.3" footer="0.3"/>
  <pageSetup paperSize="9" scale="92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Vishesh Gupta</dc:creator>
  <cp:lastModifiedBy>Atul Gupta</cp:lastModifiedBy>
  <cp:lastPrinted>2011-07-11T09:43:39Z</cp:lastPrinted>
  <dcterms:created xsi:type="dcterms:W3CDTF">2009-05-09T07:07:53Z</dcterms:created>
  <dcterms:modified xsi:type="dcterms:W3CDTF">2011-11-02T07:39:02Z</dcterms:modified>
</cp:coreProperties>
</file>